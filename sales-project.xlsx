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8800" windowHeight="12180" firstSheet="2" activeTab="2"/>
  </bookViews>
  <sheets>
    <sheet name="Sheet2" sheetId="2" r:id="rId1"/>
    <sheet name="Sheet3" sheetId="3" r:id="rId2"/>
    <sheet name="Dashboard" sheetId="6" r:id="rId3"/>
    <sheet name="Sheet6" sheetId="7" r:id="rId4"/>
    <sheet name="Sheet1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<sst xmlns="http://schemas.openxmlformats.org/spreadsheetml/2006/main" count="78" uniqueCount="45">
  <si>
    <t>Revenue</t>
  </si>
  <si>
    <t>City</t>
  </si>
  <si>
    <t>Sum of Revenue</t>
  </si>
  <si>
    <t>Bangaluru</t>
  </si>
  <si>
    <t>15000 Total</t>
  </si>
  <si>
    <t>Delhi</t>
  </si>
  <si>
    <t>20000 Total</t>
  </si>
  <si>
    <t>Pune</t>
  </si>
  <si>
    <t>30000 Total</t>
  </si>
  <si>
    <t>40000 Total</t>
  </si>
  <si>
    <t>Mumbai</t>
  </si>
  <si>
    <t>50000 Total</t>
  </si>
  <si>
    <t>60000 Total</t>
  </si>
  <si>
    <t>100000 Total</t>
  </si>
  <si>
    <t xml:space="preserve">                                                                                            </t>
  </si>
  <si>
    <t>(blank)</t>
  </si>
  <si>
    <t xml:space="preserve">                                                                                             Total</t>
  </si>
  <si>
    <t>Grand Total</t>
  </si>
  <si>
    <t>Sum of Profit</t>
  </si>
  <si>
    <t>SALES DASHBOARD</t>
  </si>
  <si>
    <t>Total  REVENUE</t>
  </si>
  <si>
    <t>Total Profit</t>
  </si>
  <si>
    <t>Total Quantity</t>
  </si>
  <si>
    <t>Product</t>
  </si>
  <si>
    <t>Sum of Quantity</t>
  </si>
  <si>
    <t>Sum of Quantity2</t>
  </si>
  <si>
    <t>Laptop</t>
  </si>
  <si>
    <t>Mobile</t>
  </si>
  <si>
    <t>Tablet</t>
  </si>
  <si>
    <t>Order_ID</t>
  </si>
  <si>
    <t>Date</t>
  </si>
  <si>
    <t>Customer</t>
  </si>
  <si>
    <t>Price</t>
  </si>
  <si>
    <t>Quantity</t>
  </si>
  <si>
    <t>Cost</t>
  </si>
  <si>
    <t>Profit</t>
  </si>
  <si>
    <t>Asha</t>
  </si>
  <si>
    <t>Roha</t>
  </si>
  <si>
    <t>Neha</t>
  </si>
  <si>
    <t xml:space="preserve">                     </t>
  </si>
  <si>
    <t>Karan</t>
  </si>
  <si>
    <t>Pooja</t>
  </si>
  <si>
    <t>Mohan</t>
  </si>
  <si>
    <t>Sneha</t>
  </si>
  <si>
    <t>Amit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</si>
</sst>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18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180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3.xlsx]Sheet2!PivotTable1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Sheet2!$A$4:$B$21</c:f>
              <c:multiLvlStrCache>
                <c:ptCount val="9"/>
                <c:lvl>
                  <c:pt idx="0">
                    <c:v>Bangaluru</c:v>
                  </c:pt>
                  <c:pt idx="1">
                    <c:v>Delhi</c:v>
                  </c:pt>
                  <c:pt idx="2">
                    <c:v>Pune</c:v>
                  </c:pt>
                  <c:pt idx="3">
                    <c:v>Pune</c:v>
                  </c:pt>
                  <c:pt idx="4">
                    <c:v>Delhi</c:v>
                  </c:pt>
                  <c:pt idx="5">
                    <c:v>Mumbai</c:v>
                  </c:pt>
                  <c:pt idx="6">
                    <c:v>Mumbai</c:v>
                  </c:pt>
                  <c:pt idx="7">
                    <c:v>Bangaluru</c:v>
                  </c:pt>
                  <c:pt idx="8">
                    <c:v>(blank)</c:v>
                  </c:pt>
                </c:lvl>
                <c:lvl>
                  <c:pt idx="0">
                    <c:v>15000</c:v>
                  </c:pt>
                  <c:pt idx="1">
                    <c:v>20000</c:v>
                  </c:pt>
                  <c:pt idx="2">
                    <c:v>30000</c:v>
                  </c:pt>
                  <c:pt idx="3">
                    <c:v>40000</c:v>
                  </c:pt>
                  <c:pt idx="4">
                    <c:v>50000</c:v>
                  </c:pt>
                  <c:pt idx="6">
                    <c:v>60000</c:v>
                  </c:pt>
                  <c:pt idx="7">
                    <c:v>100000</c:v>
                  </c:pt>
                  <c:pt idx="8">
                    <c:v>                                                                                            </c:v>
                  </c:pt>
                </c:lvl>
              </c:multiLvlStrCache>
            </c:multiLvlStrRef>
          </c:cat>
          <c:val>
            <c:numRef>
              <c:f>Sheet2!$C$4:$C$21</c:f>
              <c:numCache>
                <c:formatCode>General</c:formatCode>
                <c:ptCount val="9"/>
                <c:pt idx="0">
                  <c:v>15000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50000</c:v>
                </c:pt>
                <c:pt idx="6">
                  <c:v>60000</c:v>
                </c:pt>
                <c:pt idx="7">
                  <c:v>100000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501255"/>
        <c:axId val="1104503303"/>
      </c:barChart>
      <c:catAx>
        <c:axId val="1104501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4503303"/>
        <c:crosses val="autoZero"/>
        <c:auto val="1"/>
        <c:lblAlgn val="ctr"/>
        <c:lblOffset val="100"/>
        <c:noMultiLvlLbl val="0"/>
      </c:catAx>
      <c:valAx>
        <c:axId val="1104503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4501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4c103c-737c-471f-a0e2-781b98d734ca}"/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3.xlsx]Sheet3!PivotTable2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rgbClr val="92D050"/>
              </a:solidFill>
              <a:prstDash val="solid"/>
            </a:ln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4472C4"/>
                </a:solidFill>
                <a:prstDash val="solid"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92D050"/>
                </a:solidFill>
                <a:prstDash val="solid"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92D050"/>
                </a:solidFill>
                <a:prstDash val="solid"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92D050"/>
                </a:solidFill>
                <a:prstDash val="solid"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rgbClr val="92D050"/>
                </a:solidFill>
                <a:prstDash val="solid"/>
              </a:ln>
              <a:effectLst/>
            </c:spPr>
          </c:dPt>
          <c:dLbls>
            <c:delete val="1"/>
          </c:dLbls>
          <c:cat>
            <c:strRef>
              <c:f>Sheet3!$A$4:$A$9</c:f>
              <c:strCache>
                <c:ptCount val="5"/>
                <c:pt idx="0">
                  <c:v>Bangaluru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  <c:pt idx="4">
                  <c:v>(blank)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46000</c:v>
                </c:pt>
                <c:pt idx="1">
                  <c:v>55000</c:v>
                </c:pt>
                <c:pt idx="2">
                  <c:v>44000</c:v>
                </c:pt>
                <c:pt idx="3">
                  <c:v>28000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f95c48-350f-4f06-9b43-d96d763ad8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3.xlsx]Sheet2!PivotTable1</c:name>
    <c:fmtId val="6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Sheet2!$A$4:$B$21</c:f>
              <c:multiLvlStrCache>
                <c:ptCount val="9"/>
                <c:lvl>
                  <c:pt idx="0">
                    <c:v>Bangaluru</c:v>
                  </c:pt>
                  <c:pt idx="1">
                    <c:v>Delhi</c:v>
                  </c:pt>
                  <c:pt idx="2">
                    <c:v>Pune</c:v>
                  </c:pt>
                  <c:pt idx="3">
                    <c:v>Pune</c:v>
                  </c:pt>
                  <c:pt idx="4">
                    <c:v>Delhi</c:v>
                  </c:pt>
                  <c:pt idx="5">
                    <c:v>Mumbai</c:v>
                  </c:pt>
                  <c:pt idx="6">
                    <c:v>Mumbai</c:v>
                  </c:pt>
                  <c:pt idx="7">
                    <c:v>Bangaluru</c:v>
                  </c:pt>
                  <c:pt idx="8">
                    <c:v>(blank)</c:v>
                  </c:pt>
                </c:lvl>
                <c:lvl>
                  <c:pt idx="0">
                    <c:v>15000</c:v>
                  </c:pt>
                  <c:pt idx="1">
                    <c:v>20000</c:v>
                  </c:pt>
                  <c:pt idx="2">
                    <c:v>30000</c:v>
                  </c:pt>
                  <c:pt idx="3">
                    <c:v>40000</c:v>
                  </c:pt>
                  <c:pt idx="4">
                    <c:v>50000</c:v>
                  </c:pt>
                  <c:pt idx="6">
                    <c:v>60000</c:v>
                  </c:pt>
                  <c:pt idx="7">
                    <c:v>100000</c:v>
                  </c:pt>
                  <c:pt idx="8">
                    <c:v>                                                                                            </c:v>
                  </c:pt>
                </c:lvl>
              </c:multiLvlStrCache>
            </c:multiLvlStrRef>
          </c:cat>
          <c:val>
            <c:numRef>
              <c:f>Sheet2!$C$4:$C$21</c:f>
              <c:numCache>
                <c:formatCode>General</c:formatCode>
                <c:ptCount val="9"/>
                <c:pt idx="0">
                  <c:v>15000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50000</c:v>
                </c:pt>
                <c:pt idx="6">
                  <c:v>60000</c:v>
                </c:pt>
                <c:pt idx="7">
                  <c:v>100000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501255"/>
        <c:axId val="1104503303"/>
      </c:barChart>
      <c:catAx>
        <c:axId val="1104501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4503303"/>
        <c:crosses val="autoZero"/>
        <c:auto val="1"/>
        <c:lblAlgn val="ctr"/>
        <c:lblOffset val="100"/>
        <c:noMultiLvlLbl val="0"/>
      </c:catAx>
      <c:valAx>
        <c:axId val="1104503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4501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66250-7490-485b-b435-72fb54b33047}"/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3.xlsx]Sheet3!PivotTable2</c:name>
    <c:fmtId val="8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rgbClr val="92D050"/>
              </a:solidFill>
              <a:prstDash val="solid"/>
            </a:ln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4472C4"/>
                </a:solidFill>
                <a:prstDash val="solid"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92D050"/>
                </a:solidFill>
                <a:prstDash val="solid"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92D050"/>
                </a:solidFill>
                <a:prstDash val="solid"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92D050"/>
                </a:solidFill>
                <a:prstDash val="solid"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rgbClr val="92D050"/>
                </a:solidFill>
                <a:prstDash val="solid"/>
              </a:ln>
              <a:effectLst/>
            </c:spPr>
          </c:dPt>
          <c:dLbls>
            <c:delete val="1"/>
          </c:dLbls>
          <c:cat>
            <c:strRef>
              <c:f>Sheet3!$A$4:$A$9</c:f>
              <c:strCache>
                <c:ptCount val="5"/>
                <c:pt idx="0">
                  <c:v>Bangaluru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  <c:pt idx="4">
                  <c:v>(blank)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46000</c:v>
                </c:pt>
                <c:pt idx="1">
                  <c:v>55000</c:v>
                </c:pt>
                <c:pt idx="2">
                  <c:v>44000</c:v>
                </c:pt>
                <c:pt idx="3">
                  <c:v>28000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48fc24-3414-4649-af57-6160a84761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3.xlsx]Sheet6!PivotTable1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Sheet6!$A$4:$A$8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(blank)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Quantity2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Sheet6!$A$4:$A$8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(blank)</c:v>
                </c:pt>
              </c:strCache>
            </c:strRef>
          </c:cat>
          <c:val>
            <c:numRef>
              <c:f>Sheet6!$C$4:$C$8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438216"/>
        <c:axId val="609440264"/>
      </c:lineChart>
      <c:catAx>
        <c:axId val="60943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440264"/>
        <c:crosses val="autoZero"/>
        <c:auto val="1"/>
        <c:lblAlgn val="ctr"/>
        <c:lblOffset val="100"/>
        <c:noMultiLvlLbl val="0"/>
      </c:catAx>
      <c:valAx>
        <c:axId val="60944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43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e43fa2-9449-4348-bcc3-47f1f121dd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3.xlsx]Sheet6!PivotTable1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Sheet6!$A$4:$A$8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(blank)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Quantity2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Sheet6!$A$4:$A$8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(blank)</c:v>
                </c:pt>
              </c:strCache>
            </c:strRef>
          </c:cat>
          <c:val>
            <c:numRef>
              <c:f>Sheet6!$C$4:$C$8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438216"/>
        <c:axId val="609440264"/>
      </c:lineChart>
      <c:catAx>
        <c:axId val="60943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440264"/>
        <c:crosses val="autoZero"/>
        <c:auto val="1"/>
        <c:lblAlgn val="ctr"/>
        <c:lblOffset val="100"/>
        <c:noMultiLvlLbl val="0"/>
      </c:catAx>
      <c:valAx>
        <c:axId val="60944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43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55b155-c0b1-41bb-bd8f-76eacfe0e2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228600</xdr:colOff>
      <xdr:row>4</xdr:row>
      <xdr:rowOff>28575</xdr:rowOff>
    </xdr:from>
    <xdr:to>
      <xdr:col>11</xdr:col>
      <xdr:colOff>533400</xdr:colOff>
      <xdr:row>19</xdr:row>
      <xdr:rowOff>38100</xdr:rowOff>
    </xdr:to>
    <xdr:graphicFrame>
      <xdr:nvGraphicFramePr>
        <xdr:cNvPr id="2" name="Chart 1"/>
        <xdr:cNvGraphicFramePr/>
      </xdr:nvGraphicFramePr>
      <xdr:xfrm>
        <a:off x="5524500" y="790575"/>
        <a:ext cx="4505325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28575</xdr:colOff>
      <xdr:row>3</xdr:row>
      <xdr:rowOff>76200</xdr:rowOff>
    </xdr:from>
    <xdr:to>
      <xdr:col>10</xdr:col>
      <xdr:colOff>333375</xdr:colOff>
      <xdr:row>15</xdr:row>
      <xdr:rowOff>47625</xdr:rowOff>
    </xdr:to>
    <xdr:graphicFrame>
      <xdr:nvGraphicFramePr>
        <xdr:cNvPr id="2" name="Chart 1" title="City Wise Profit"/>
        <xdr:cNvGraphicFramePr/>
      </xdr:nvGraphicFramePr>
      <xdr:xfrm>
        <a:off x="2543175" y="647700"/>
        <a:ext cx="4505325" cy="2257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5</xdr:row>
      <xdr:rowOff>76200</xdr:rowOff>
    </xdr:from>
    <xdr:to>
      <xdr:col>4</xdr:col>
      <xdr:colOff>304800</xdr:colOff>
      <xdr:row>20</xdr:row>
      <xdr:rowOff>85725</xdr:rowOff>
    </xdr:to>
    <xdr:graphicFrame>
      <xdr:nvGraphicFramePr>
        <xdr:cNvPr id="2" name="Chart 1"/>
        <xdr:cNvGraphicFramePr/>
      </xdr:nvGraphicFramePr>
      <xdr:xfrm>
        <a:off x="95250" y="1285875"/>
        <a:ext cx="3467100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6</xdr:row>
      <xdr:rowOff>47625</xdr:rowOff>
    </xdr:from>
    <xdr:to>
      <xdr:col>9</xdr:col>
      <xdr:colOff>381000</xdr:colOff>
      <xdr:row>18</xdr:row>
      <xdr:rowOff>104775</xdr:rowOff>
    </xdr:to>
    <xdr:graphicFrame>
      <xdr:nvGraphicFramePr>
        <xdr:cNvPr id="4" name="Chart 3" title="City Wise Profit"/>
        <xdr:cNvGraphicFramePr/>
      </xdr:nvGraphicFramePr>
      <xdr:xfrm>
        <a:off x="3867150" y="1447800"/>
        <a:ext cx="2981325" cy="2343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523875</xdr:colOff>
      <xdr:row>5</xdr:row>
      <xdr:rowOff>66675</xdr:rowOff>
    </xdr:from>
    <xdr:to>
      <xdr:col>15</xdr:col>
      <xdr:colOff>161925</xdr:colOff>
      <xdr:row>19</xdr:row>
      <xdr:rowOff>142875</xdr:rowOff>
    </xdr:to>
    <xdr:graphicFrame>
      <xdr:nvGraphicFramePr>
        <xdr:cNvPr id="8" name="Chart 7"/>
        <xdr:cNvGraphicFramePr/>
      </xdr:nvGraphicFramePr>
      <xdr:xfrm>
        <a:off x="6991350" y="1276350"/>
        <a:ext cx="34575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381000</xdr:colOff>
      <xdr:row>10</xdr:row>
      <xdr:rowOff>19050</xdr:rowOff>
    </xdr:from>
    <xdr:to>
      <xdr:col>13</xdr:col>
      <xdr:colOff>76200</xdr:colOff>
      <xdr:row>24</xdr:row>
      <xdr:rowOff>95250</xdr:rowOff>
    </xdr:to>
    <xdr:graphicFrame>
      <xdr:nvGraphicFramePr>
        <xdr:cNvPr id="2" name="Chart 1"/>
        <xdr:cNvGraphicFramePr/>
      </xdr:nvGraphicFramePr>
      <xdr:xfrm>
        <a:off x="4476750" y="1924050"/>
        <a:ext cx="4495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59.4502633102" refreshedBy="Excel Services" recordCount="9">
  <cacheSource type="worksheet">
    <worksheetSource name="Table1"/>
  </cacheSource>
  <cacheFields count="10">
    <cacheField name="Order_ID" numFmtId="0"/>
    <cacheField name="Date" numFmtId="0">
      <sharedItems containsString="0" containsBlank="1" containsNonDate="0" containsDate="1" minDate="2025-01-01T00:00:00" maxDate="2025-01-08T00:00:00" count="9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m/>
      </sharedItems>
    </cacheField>
    <cacheField name="Customer" numFmtId="0">
      <sharedItems containsBlank="1" count="9">
        <s v="Asha"/>
        <s v="Roha"/>
        <s v="Neha"/>
        <s v="Karan"/>
        <s v="Pooja"/>
        <s v="Mohan"/>
        <s v="Sneha"/>
        <s v="Amit"/>
        <m/>
      </sharedItems>
    </cacheField>
    <cacheField name="City" numFmtId="0">
      <sharedItems containsBlank="1" count="5">
        <s v="Mumbai"/>
        <s v="Pune"/>
        <s v="Bangaluru"/>
        <s v="Delhi"/>
        <m/>
      </sharedItems>
    </cacheField>
    <cacheField name="Product" numFmtId="0">
      <sharedItems containsBlank="1" count="4">
        <s v="Laptop"/>
        <s v="Mobile"/>
        <s v="Tablet"/>
        <m/>
      </sharedItems>
    </cacheField>
    <cacheField name="Price" numFmtId="0"/>
    <cacheField name="Quantity" numFmtId="0"/>
    <cacheField name="Cost" numFmtId="0"/>
    <cacheField name="Revenue" numFmtId="0">
      <sharedItems containsNumber="1" containsInteger="1" containsMixedTypes="1" count="8">
        <n v="50000"/>
        <n v="40000"/>
        <n v="15000"/>
        <n v="60000"/>
        <n v="30000"/>
        <n v="100000"/>
        <n v="20000"/>
        <s v="                                                                                            "/>
      </sharedItems>
    </cacheField>
    <cacheField name="Profi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01"/>
    <x v="0"/>
    <x v="0"/>
    <x v="0"/>
    <x v="0"/>
    <n v="50000"/>
    <n v="1"/>
    <n v="30000"/>
    <x v="0"/>
    <n v="20000"/>
  </r>
  <r>
    <n v="1002"/>
    <x v="1"/>
    <x v="1"/>
    <x v="1"/>
    <x v="1"/>
    <n v="20000"/>
    <n v="2"/>
    <n v="12000"/>
    <x v="1"/>
    <n v="16000"/>
  </r>
  <r>
    <n v="1003"/>
    <x v="2"/>
    <x v="2"/>
    <x v="2"/>
    <x v="2"/>
    <n v="15000"/>
    <n v="1"/>
    <n v="9000"/>
    <x v="2"/>
    <n v="6000"/>
  </r>
  <r>
    <n v="1004"/>
    <x v="3"/>
    <x v="3"/>
    <x v="3"/>
    <x v="0"/>
    <n v="50000"/>
    <n v="1"/>
    <n v="3000"/>
    <x v="0"/>
    <n v="47000"/>
  </r>
  <r>
    <n v="1005"/>
    <x v="4"/>
    <x v="4"/>
    <x v="0"/>
    <x v="1"/>
    <n v="20000"/>
    <n v="3"/>
    <n v="12000"/>
    <x v="3"/>
    <n v="24000"/>
  </r>
  <r>
    <n v="1006"/>
    <x v="5"/>
    <x v="5"/>
    <x v="1"/>
    <x v="2"/>
    <n v="15000"/>
    <n v="2"/>
    <n v="9000"/>
    <x v="4"/>
    <n v="12000"/>
  </r>
  <r>
    <n v="1007"/>
    <x v="6"/>
    <x v="6"/>
    <x v="2"/>
    <x v="0"/>
    <n v="50000"/>
    <n v="2"/>
    <n v="30000"/>
    <x v="5"/>
    <n v="40000"/>
  </r>
  <r>
    <n v="1008"/>
    <x v="7"/>
    <x v="7"/>
    <x v="3"/>
    <x v="1"/>
    <n v="20000"/>
    <n v="1"/>
    <n v="12000"/>
    <x v="6"/>
    <n v="8000"/>
  </r>
  <r>
    <m/>
    <x v="8"/>
    <x v="8"/>
    <x v="4"/>
    <x v="3"/>
    <m/>
    <m/>
    <m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7">
  <location ref="A3:C21" firstHeaderRow="1" firstDataRow="1" firstDataCol="2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9">
        <item x="2"/>
        <item x="6"/>
        <item x="4"/>
        <item x="1"/>
        <item x="0"/>
        <item x="3"/>
        <item x="5"/>
        <item x="7"/>
        <item t="default"/>
      </items>
    </pivotField>
    <pivotField compact="0" outline="0" showAll="0"/>
  </pivotFields>
  <rowFields count="2">
    <field x="8"/>
    <field x="3"/>
  </rowFields>
  <rowItems count="18">
    <i>
      <x/>
      <x/>
    </i>
    <i t="default">
      <x/>
    </i>
    <i>
      <x v="1"/>
      <x v="1"/>
    </i>
    <i t="default">
      <x v="1"/>
    </i>
    <i>
      <x v="2"/>
      <x v="3"/>
    </i>
    <i t="default">
      <x v="2"/>
    </i>
    <i>
      <x v="3"/>
      <x v="3"/>
    </i>
    <i t="default">
      <x v="3"/>
    </i>
    <i>
      <x v="4"/>
      <x v="1"/>
    </i>
    <i r="1">
      <x v="2"/>
    </i>
    <i t="default">
      <x v="4"/>
    </i>
    <i>
      <x v="5"/>
      <x v="2"/>
    </i>
    <i t="default">
      <x v="5"/>
    </i>
    <i>
      <x v="6"/>
      <x/>
    </i>
    <i t="default">
      <x v="6"/>
    </i>
    <i>
      <x v="7"/>
      <x v="4"/>
    </i>
    <i t="default">
      <x v="7"/>
    </i>
    <i t="grand">
      <x/>
    </i>
  </rowItems>
  <colItems count="1">
    <i/>
  </colItems>
  <dataFields count="1">
    <dataField name="Sum of Revenue" fld="8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9">
  <location ref="A3:B9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9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5">
  <location ref="A3:C8" firstHeaderRow="0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Quantity2" fld="6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10" totalsRowShown="0">
  <autoFilter xmlns:etc="http://www.wps.cn/officeDocument/2017/etCustomData" ref="A1:J10" etc:filterBottomFollowUsedRange="0"/>
  <tableColumns count="10">
    <tableColumn id="1" name="Order_ID"/>
    <tableColumn id="2" name="Date" dataDxfId="0"/>
    <tableColumn id="3" name="Customer"/>
    <tableColumn id="4" name="City"/>
    <tableColumn id="5" name="Product"/>
    <tableColumn id="6" name="Price"/>
    <tableColumn id="7" name="Quantity"/>
    <tableColumn id="8" name="Cost"/>
    <tableColumn id="9" name="Revenue"/>
    <tableColumn id="10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1"/>
  <sheetViews>
    <sheetView workbookViewId="0">
      <selection activeCell="O9" sqref="O9"/>
    </sheetView>
  </sheetViews>
  <sheetFormatPr defaultColWidth="9" defaultRowHeight="15" outlineLevelCol="2"/>
  <cols>
    <col min="1" max="1" width="45.4285714285714" customWidth="1"/>
    <col min="2" max="2" width="9.71428571428571" customWidth="1"/>
    <col min="3" max="3" width="15.2857142857143" customWidth="1"/>
  </cols>
  <sheetData>
    <row r="3" spans="1:3">
      <c r="A3" t="s">
        <v>0</v>
      </c>
      <c r="B3" t="s">
        <v>1</v>
      </c>
      <c r="C3" t="s">
        <v>2</v>
      </c>
    </row>
    <row r="4" spans="1:3">
      <c r="A4">
        <v>15000</v>
      </c>
      <c r="B4" t="s">
        <v>3</v>
      </c>
      <c r="C4" s="3">
        <v>15000</v>
      </c>
    </row>
    <row r="5" spans="1:3">
      <c r="A5" t="s">
        <v>4</v>
      </c>
      <c r="C5" s="3">
        <v>15000</v>
      </c>
    </row>
    <row r="6" spans="1:3">
      <c r="A6">
        <v>20000</v>
      </c>
      <c r="B6" t="s">
        <v>5</v>
      </c>
      <c r="C6" s="3">
        <v>20000</v>
      </c>
    </row>
    <row r="7" spans="1:3">
      <c r="A7" t="s">
        <v>6</v>
      </c>
      <c r="C7" s="3">
        <v>20000</v>
      </c>
    </row>
    <row r="8" spans="1:3">
      <c r="A8">
        <v>30000</v>
      </c>
      <c r="B8" t="s">
        <v>7</v>
      </c>
      <c r="C8" s="3">
        <v>30000</v>
      </c>
    </row>
    <row r="9" spans="1:3">
      <c r="A9" t="s">
        <v>8</v>
      </c>
      <c r="C9" s="3">
        <v>30000</v>
      </c>
    </row>
    <row r="10" spans="1:3">
      <c r="A10">
        <v>40000</v>
      </c>
      <c r="B10" t="s">
        <v>7</v>
      </c>
      <c r="C10" s="3">
        <v>40000</v>
      </c>
    </row>
    <row r="11" spans="1:3">
      <c r="A11" t="s">
        <v>9</v>
      </c>
      <c r="C11" s="3">
        <v>40000</v>
      </c>
    </row>
    <row r="12" spans="1:3">
      <c r="A12">
        <v>50000</v>
      </c>
      <c r="B12" t="s">
        <v>5</v>
      </c>
      <c r="C12" s="3">
        <v>50000</v>
      </c>
    </row>
    <row r="13" spans="1:3">
      <c r="B13" t="s">
        <v>10</v>
      </c>
      <c r="C13" s="3">
        <v>50000</v>
      </c>
    </row>
    <row r="14" spans="1:3">
      <c r="A14" t="s">
        <v>11</v>
      </c>
      <c r="C14" s="3">
        <v>100000</v>
      </c>
    </row>
    <row r="15" spans="1:3">
      <c r="A15">
        <v>60000</v>
      </c>
      <c r="B15" t="s">
        <v>10</v>
      </c>
      <c r="C15" s="3">
        <v>60000</v>
      </c>
    </row>
    <row r="16" spans="1:3">
      <c r="A16" t="s">
        <v>12</v>
      </c>
      <c r="C16" s="3">
        <v>60000</v>
      </c>
    </row>
    <row r="17" spans="1:3">
      <c r="A17">
        <v>100000</v>
      </c>
      <c r="B17" t="s">
        <v>3</v>
      </c>
      <c r="C17" s="3">
        <v>100000</v>
      </c>
    </row>
    <row r="18" spans="1:3">
      <c r="A18" t="s">
        <v>13</v>
      </c>
      <c r="C18" s="3">
        <v>100000</v>
      </c>
    </row>
    <row r="19" spans="1:3">
      <c r="A19" t="s">
        <v>14</v>
      </c>
      <c r="B19" t="s">
        <v>15</v>
      </c>
      <c r="C19" s="3">
        <v>0</v>
      </c>
    </row>
    <row r="20" spans="1:3">
      <c r="A20" t="s">
        <v>16</v>
      </c>
      <c r="C20" s="3">
        <v>0</v>
      </c>
    </row>
    <row r="21" spans="1:3">
      <c r="A21" t="s">
        <v>17</v>
      </c>
      <c r="C21" s="3">
        <v>365000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E3" sqref="E3"/>
    </sheetView>
  </sheetViews>
  <sheetFormatPr defaultColWidth="9" defaultRowHeight="15" outlineLevelCol="1"/>
  <cols>
    <col min="1" max="1" width="11.4285714285714" customWidth="1"/>
    <col min="2" max="2" width="12.5714285714286" customWidth="1"/>
    <col min="3" max="3" width="13.7142857142857" customWidth="1"/>
  </cols>
  <sheetData>
    <row r="3" spans="1:2">
      <c r="A3" t="s">
        <v>1</v>
      </c>
      <c r="B3" t="s">
        <v>18</v>
      </c>
    </row>
    <row r="4" spans="1:2">
      <c r="A4" t="s">
        <v>3</v>
      </c>
      <c r="B4" s="3">
        <v>46000</v>
      </c>
    </row>
    <row r="5" spans="1:2">
      <c r="A5" t="s">
        <v>5</v>
      </c>
      <c r="B5" s="3">
        <v>55000</v>
      </c>
    </row>
    <row r="6" spans="1:2">
      <c r="A6" t="s">
        <v>10</v>
      </c>
      <c r="B6" s="3">
        <v>44000</v>
      </c>
    </row>
    <row r="7" spans="1:2">
      <c r="A7" t="s">
        <v>7</v>
      </c>
      <c r="B7" s="3">
        <v>28000</v>
      </c>
    </row>
    <row r="8" spans="1:2">
      <c r="A8" t="s">
        <v>15</v>
      </c>
      <c r="B8" s="3"/>
    </row>
    <row r="9" spans="1:2">
      <c r="A9" t="s">
        <v>17</v>
      </c>
      <c r="B9" s="3">
        <v>173000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F6" sqref="F6"/>
    </sheetView>
  </sheetViews>
  <sheetFormatPr defaultColWidth="9" defaultRowHeight="15" outlineLevelRow="3"/>
  <cols>
    <col min="1" max="2" width="15.2857142857143" style="4" customWidth="1"/>
    <col min="3" max="5" width="9.14285714285714" style="4"/>
    <col min="6" max="6" width="11.5714285714286" style="4" customWidth="1"/>
    <col min="7" max="10" width="9.14285714285714" style="4"/>
    <col min="11" max="11" width="11.5714285714286" style="4" customWidth="1"/>
    <col min="12" max="16384" width="9.14285714285714" style="4"/>
  </cols>
  <sheetData>
    <row r="1" ht="23.25" spans="1:12">
      <c r="A1" s="5" t="s">
        <v>19</v>
      </c>
      <c r="B1" s="5"/>
      <c r="C1" s="5"/>
      <c r="D1" s="5"/>
      <c r="E1" s="5"/>
      <c r="F1" s="5"/>
      <c r="G1" s="5"/>
    </row>
    <row r="3" ht="18.75" spans="1:12">
      <c r="A3" s="6" t="s">
        <v>20</v>
      </c>
      <c r="B3" s="6"/>
      <c r="F3" s="6" t="s">
        <v>21</v>
      </c>
      <c r="G3" s="6"/>
      <c r="J3" s="6" t="s">
        <v>22</v>
      </c>
      <c r="K3" s="6"/>
      <c r="L3" s="6"/>
    </row>
    <row r="4" ht="23.25" spans="1:12">
      <c r="A4" s="7">
        <f>SUM(Sheet1!I:I)</f>
        <v>365000</v>
      </c>
      <c r="F4" s="7">
        <f>SUM(Sheet1!J:J)</f>
        <v>173000</v>
      </c>
      <c r="K4" s="7">
        <f>SUM(Sheet1!F:F)</f>
        <v>240000</v>
      </c>
    </row>
  </sheetData>
  <mergeCells count="4">
    <mergeCell ref="A1:G1"/>
    <mergeCell ref="A3:B3"/>
    <mergeCell ref="F3:G3"/>
    <mergeCell ref="J3:L3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topLeftCell="A10" workbookViewId="0">
      <selection activeCell="Q12" sqref="Q12"/>
    </sheetView>
  </sheetViews>
  <sheetFormatPr defaultColWidth="9" defaultRowHeight="15" outlineLevelRow="7" outlineLevelCol="2"/>
  <cols>
    <col min="1" max="1" width="11.4285714285714" customWidth="1"/>
    <col min="2" max="2" width="15.4285714285714" customWidth="1"/>
    <col min="3" max="3" width="16.5714285714286" customWidth="1"/>
  </cols>
  <sheetData>
    <row r="3" spans="1:3">
      <c r="A3" t="s">
        <v>23</v>
      </c>
      <c r="B3" t="s">
        <v>24</v>
      </c>
      <c r="C3" t="s">
        <v>25</v>
      </c>
    </row>
    <row r="4" spans="1:3">
      <c r="A4" t="s">
        <v>26</v>
      </c>
      <c r="B4" s="3">
        <v>4</v>
      </c>
      <c r="C4" s="3">
        <v>4</v>
      </c>
    </row>
    <row r="5" spans="1:3">
      <c r="A5" t="s">
        <v>27</v>
      </c>
      <c r="B5" s="3">
        <v>6</v>
      </c>
      <c r="C5" s="3">
        <v>6</v>
      </c>
    </row>
    <row r="6" spans="1:3">
      <c r="A6" t="s">
        <v>28</v>
      </c>
      <c r="B6" s="3">
        <v>3</v>
      </c>
      <c r="C6" s="3">
        <v>3</v>
      </c>
    </row>
    <row r="7" spans="1:3">
      <c r="A7" t="s">
        <v>15</v>
      </c>
      <c r="B7" s="3"/>
      <c r="C7" s="3"/>
    </row>
    <row r="8" spans="1:3">
      <c r="A8" t="s">
        <v>17</v>
      </c>
      <c r="B8" s="3">
        <v>13</v>
      </c>
      <c r="C8" s="3">
        <v>13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"/>
    </sheetView>
  </sheetViews>
  <sheetFormatPr defaultColWidth="9" defaultRowHeight="15"/>
  <cols>
    <col min="1" max="1" width="11.2857142857143" customWidth="1"/>
    <col min="2" max="2" width="10.8571428571429" customWidth="1"/>
    <col min="3" max="3" width="11.7142857142857" customWidth="1"/>
    <col min="4" max="4" width="9.71428571428571" customWidth="1"/>
    <col min="5" max="5" width="10.1428571428571" customWidth="1"/>
    <col min="7" max="7" width="11" customWidth="1"/>
    <col min="9" max="9" width="16.5714285714286" customWidth="1"/>
    <col min="11" max="11" width="11" customWidth="1"/>
  </cols>
  <sheetData>
    <row r="1" spans="1:11">
      <c r="A1" t="s">
        <v>29</v>
      </c>
      <c r="B1" t="s">
        <v>30</v>
      </c>
      <c r="C1" t="s">
        <v>31</v>
      </c>
      <c r="D1" t="s">
        <v>1</v>
      </c>
      <c r="E1" t="s">
        <v>23</v>
      </c>
      <c r="F1" t="s">
        <v>32</v>
      </c>
      <c r="G1" t="s">
        <v>33</v>
      </c>
      <c r="H1" t="s">
        <v>34</v>
      </c>
      <c r="I1" t="s">
        <v>0</v>
      </c>
      <c r="J1" t="s">
        <v>35</v>
      </c>
    </row>
    <row r="2" spans="1:11">
      <c r="A2">
        <v>1001</v>
      </c>
      <c r="B2" s="1">
        <v>45658</v>
      </c>
      <c r="C2" t="s">
        <v>36</v>
      </c>
      <c r="D2" t="s">
        <v>10</v>
      </c>
      <c r="E2" t="s">
        <v>26</v>
      </c>
      <c r="F2">
        <v>50000</v>
      </c>
      <c r="G2">
        <v>1</v>
      </c>
      <c r="H2">
        <v>30000</v>
      </c>
      <c r="I2">
        <f>F2*G2</f>
        <v>50000</v>
      </c>
      <c r="J2">
        <f>(F2-H2)*G2</f>
        <v>20000</v>
      </c>
    </row>
    <row r="3" spans="1:11">
      <c r="A3">
        <v>1002</v>
      </c>
      <c r="B3" s="1">
        <v>45659</v>
      </c>
      <c r="C3" t="s">
        <v>37</v>
      </c>
      <c r="D3" t="s">
        <v>7</v>
      </c>
      <c r="E3" t="s">
        <v>27</v>
      </c>
      <c r="F3">
        <v>20000</v>
      </c>
      <c r="G3">
        <v>2</v>
      </c>
      <c r="H3">
        <v>12000</v>
      </c>
      <c r="I3">
        <f t="shared" ref="I3:I9" si="0">F3*G3</f>
        <v>40000</v>
      </c>
      <c r="J3">
        <f t="shared" ref="J3:J9" si="1">(F3-H3)*G3</f>
        <v>16000</v>
      </c>
    </row>
    <row r="4" spans="1:11">
      <c r="A4">
        <v>1003</v>
      </c>
      <c r="B4" s="1">
        <v>45660</v>
      </c>
      <c r="C4" t="s">
        <v>38</v>
      </c>
      <c r="D4" t="s">
        <v>3</v>
      </c>
      <c r="E4" t="s">
        <v>28</v>
      </c>
      <c r="F4">
        <v>15000</v>
      </c>
      <c r="G4">
        <v>1</v>
      </c>
      <c r="H4">
        <v>9000</v>
      </c>
      <c r="I4">
        <f t="shared" si="0"/>
        <v>15000</v>
      </c>
      <c r="J4">
        <f t="shared" si="1"/>
        <v>6000</v>
      </c>
      <c r="K4" t="s">
        <v>39</v>
      </c>
    </row>
    <row r="5" spans="1:11">
      <c r="A5">
        <v>1004</v>
      </c>
      <c r="B5" s="1">
        <v>45661</v>
      </c>
      <c r="C5" t="s">
        <v>40</v>
      </c>
      <c r="D5" t="s">
        <v>5</v>
      </c>
      <c r="E5" t="s">
        <v>26</v>
      </c>
      <c r="F5">
        <v>50000</v>
      </c>
      <c r="G5">
        <v>1</v>
      </c>
      <c r="H5">
        <v>3000</v>
      </c>
      <c r="I5">
        <f t="shared" si="0"/>
        <v>50000</v>
      </c>
      <c r="J5">
        <f t="shared" si="1"/>
        <v>47000</v>
      </c>
    </row>
    <row r="6" spans="1:11">
      <c r="A6">
        <v>1005</v>
      </c>
      <c r="B6" s="1">
        <v>45662</v>
      </c>
      <c r="C6" t="s">
        <v>41</v>
      </c>
      <c r="D6" t="s">
        <v>10</v>
      </c>
      <c r="E6" t="s">
        <v>27</v>
      </c>
      <c r="F6">
        <v>20000</v>
      </c>
      <c r="G6">
        <v>3</v>
      </c>
      <c r="H6">
        <v>12000</v>
      </c>
      <c r="I6">
        <f t="shared" si="0"/>
        <v>60000</v>
      </c>
      <c r="J6">
        <f t="shared" si="1"/>
        <v>24000</v>
      </c>
    </row>
    <row r="7" spans="1:11">
      <c r="A7">
        <v>1006</v>
      </c>
      <c r="B7" s="1">
        <v>45663</v>
      </c>
      <c r="C7" t="s">
        <v>42</v>
      </c>
      <c r="D7" t="s">
        <v>7</v>
      </c>
      <c r="E7" t="s">
        <v>28</v>
      </c>
      <c r="F7">
        <v>15000</v>
      </c>
      <c r="G7">
        <v>2</v>
      </c>
      <c r="H7">
        <v>9000</v>
      </c>
      <c r="I7">
        <f t="shared" si="0"/>
        <v>30000</v>
      </c>
      <c r="J7">
        <f t="shared" si="1"/>
        <v>12000</v>
      </c>
    </row>
    <row r="8" spans="1:11">
      <c r="A8">
        <v>1007</v>
      </c>
      <c r="B8" s="1">
        <v>45664</v>
      </c>
      <c r="C8" t="s">
        <v>43</v>
      </c>
      <c r="D8" t="s">
        <v>3</v>
      </c>
      <c r="E8" t="s">
        <v>26</v>
      </c>
      <c r="F8">
        <v>50000</v>
      </c>
      <c r="G8">
        <v>2</v>
      </c>
      <c r="H8">
        <v>30000</v>
      </c>
      <c r="I8">
        <f t="shared" si="0"/>
        <v>100000</v>
      </c>
      <c r="J8">
        <f t="shared" si="1"/>
        <v>40000</v>
      </c>
    </row>
    <row r="9" spans="1:11">
      <c r="A9">
        <v>1008</v>
      </c>
      <c r="B9" s="1">
        <v>45665</v>
      </c>
      <c r="C9" t="s">
        <v>44</v>
      </c>
      <c r="D9" t="s">
        <v>5</v>
      </c>
      <c r="E9" t="s">
        <v>27</v>
      </c>
      <c r="F9">
        <v>20000</v>
      </c>
      <c r="G9">
        <v>1</v>
      </c>
      <c r="H9">
        <v>12000</v>
      </c>
      <c r="I9">
        <f t="shared" si="0"/>
        <v>20000</v>
      </c>
      <c r="J9">
        <f t="shared" si="1"/>
        <v>8000</v>
      </c>
    </row>
    <row r="10" spans="1:11">
      <c r="I10" s="2" t="s">
        <v>14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Sheet3</vt:lpstr>
      <vt:lpstr>Dashboard</vt:lpstr>
      <vt:lpstr>Sheet6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yj199</cp:lastModifiedBy>
  <dcterms:created xsi:type="dcterms:W3CDTF">2026-05-17T04:50:00Z</dcterms:created>
  <dcterms:modified xsi:type="dcterms:W3CDTF">2026-05-17T06:26:47Z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772326CB22664E06AF412ABFDA1AC935_12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